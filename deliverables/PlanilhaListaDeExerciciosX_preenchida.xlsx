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3246c1b83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 - Ordenação" sheetId="1" r:id="Rb3d9f64f7a834e99"/>
  </x:sheets>
</x:workbook>
</file>

<file path=xl/sharedStrings.xml><?xml version="1.0" encoding="utf-8"?>
<x:sst xmlns:x="http://schemas.openxmlformats.org/spreadsheetml/2006/main">
  <x:si>
    <x:t xml:space="preserve">PONTIFÍCIA UNIVERSIDADE CATÓLICA DE CAMPINAS</x:t>
  </x:si>
  <x:si>
    <x:t xml:space="preserve">Escola Politénica - Engenharia de Software</x:t>
  </x:si>
  <x:si>
    <x:t xml:space="preserve">Fundamentos da Teoria da Computação e Análise de Algoritmos - Professor José Guilherme Picolo</x:t>
  </x:si>
  <x:si>
    <x:t xml:space="preserve">ANÁLISE EXPERIMENTAL DOS ALGORITMOS DE ORDENAÇÃO</x:t>
  </x:si>
  <x:si>
    <x:t xml:space="preserve">1. Identificação e ambiente de execução</x:t>
  </x:si>
  <x:si>
    <x:t xml:space="preserve">Campo</x:t>
  </x:si>
  <x:si>
    <x:t xml:space="preserve">Informação</x:t>
  </x:si>
  <x:si>
    <x:t xml:space="preserve">Nome do aluno</x:t>
  </x:si>
  <x:si>
    <x:t xml:space="preserve">RA</x:t>
  </x:si>
  <x:si>
    <x:t xml:space="preserve">Linguagem de programação utilizada</x:t>
  </x:si>
  <x:si>
    <x:t xml:space="preserve">Sistema operacional</x:t>
  </x:si>
  <x:si>
    <x:t xml:space="preserve">Processador</x:t>
  </x:si>
  <x:si>
    <x:t xml:space="preserve">Memória RAM</x:t>
  </x:si>
  <x:si>
    <x:t xml:space="preserve">Link do GitHub com os códigos implementados</x:t>
  </x:si>
  <x:si>
    <x:t xml:space="preserve">2. Resultados experimentais</x:t>
  </x:si>
  <x:si>
    <x:t xml:space="preserve">Algoritmo</x:t>
  </x:si>
  <x:si>
    <x:t xml:space="preserve">Complexidade no caso médio</x:t>
  </x:si>
  <x:si>
    <x:t xml:space="preserve">Tamanho do vetor</x:t>
  </x:si>
  <x:si>
    <x:t xml:space="preserve">Execução 1 (s)</x:t>
  </x:si>
  <x:si>
    <x:t xml:space="preserve">Execução 2 (s)</x:t>
  </x:si>
  <x:si>
    <x:t xml:space="preserve">Execução 3 (s)</x:t>
  </x:si>
  <x:si>
    <x:t xml:space="preserve">Tempo médio (s)</x:t>
  </x:si>
  <x:si>
    <x:t xml:space="preserve">Desvio padrão (s)</x:t>
  </x:si>
  <x:si>
    <x:t xml:space="preserve">Trocas ou movimentações</x:t>
  </x:si>
  <x:si>
    <x:t xml:space="preserve">Observação: Preencha os tempos das três execuções em segundos. Para algoritmos que não finalizarem em até 5 minutos, registre N/C nas execuções.</x:t>
  </x:si>
  <x:si>
    <x:t xml:space="preserve">3. Gráfico comparativo</x:t>
  </x:si>
  <x:si>
    <x:t xml:space="preserve">4. Análise dos resultados</x:t>
  </x:si>
  <x:si>
    <x:t xml:space="preserve">Pergunta</x:t>
  </x:si>
  <x:si>
    <x:t xml:space="preserve">Resposta</x:t>
  </x:si>
  <x:si>
    <x:t xml:space="preserve">Os tempos obtidos ficaram coerentes com a complexidade teórica dos algoritmos? Explique.</x:t>
  </x:si>
  <x:si>
    <x:t xml:space="preserve">A quantidade de trocas/movimentações acompanhou o crescimento do tempo de execução? Explique.</x:t>
  </x:si>
  <x:si>
    <x:t xml:space="preserve">Qual algoritmo apresentou o melhor  e o pior desempenho nos testes realizados?</x:t>
  </x:si>
</x:sst>
</file>

<file path=xl/styles.xml><?xml version="1.0" encoding="utf-8"?>
<x:styleSheet xmlns:x="http://schemas.openxmlformats.org/spreadsheetml/2006/main">
  <x:numFmts count="4">
    <x:numFmt numFmtId="164" formatCode="0.000"/>
    <x:numFmt numFmtId="200" formatCode="0.000000"/>
    <x:numFmt numFmtId="201" formatCode="#,##0"/>
    <x:numFmt numFmtId="202" formatCode="0"/>
  </x:numFmts>
  <x:fonts count="13">
    <x:font>
      <x:sz val="11"/>
      <x:name val="Carlito"/>
    </x:font>
    <x:font>
      <x:sz val="11"/>
      <x:color rgb="FF1F2937"/>
      <x:name val="Calibri"/>
    </x:font>
    <x:font>
      <x:b/>
      <x:sz val="16"/>
      <x:color rgb="FFFFFFFF"/>
      <x:name val="Calibri"/>
    </x:font>
    <x:font>
      <x:b/>
      <x:sz val="12"/>
      <x:color rgb="FFFFFFFF"/>
      <x:name val="Calibri"/>
    </x:font>
    <x:font>
      <x:b/>
      <x:sz val="11"/>
      <x:color rgb="FF1F2937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1"/>
      <x:color rgb="FF1F2937"/>
      <x:name val="Calibri"/>
    </x:font>
    <x:font>
      <x:sz val="11"/>
      <x:color rgb="FFFF0000"/>
      <x:name val="Calibri"/>
    </x:font>
    <x:font>
      <x:i/>
      <x:sz val="11"/>
      <x:color rgb="FF1F2937"/>
      <x:name val="Calibri"/>
    </x:font>
    <x:font>
      <x:b/>
      <x:sz val="11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8FC"/>
      </x:patternFill>
    </x:fill>
    <x:fill>
      <x:patternFill patternType="solid">
        <x:fgColor rgb="FF5B9BD5"/>
      </x:patternFill>
    </x:fill>
    <x:fill>
      <x:patternFill patternType="solid">
        <x:fgColor rgb="FFBDD7EE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D9EAF7"/>
      </x:patternFill>
    </x:fill>
  </x:fills>
  <x:borders count="12">
    <x:border/>
    <x:border/>
    <x:border>
      <x:left style="thin">
        <x:color rgb="FFB7C9D6"/>
      </x:left>
      <x:top style="thin">
        <x:color rgb="FFB7C9D6"/>
      </x:top>
    </x:border>
    <x:border>
      <x:left style="thin">
        <x:color rgb="FFB7C9D6"/>
      </x:left>
    </x:border>
    <x:border>
      <x:left style="thin">
        <x:color rgb="FFB7C9D6"/>
      </x:lef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right style="thin">
        <x:color rgb="FFB7C9D6"/>
      </x:right>
    </x:border>
    <x:border>
      <x:top style="thin">
        <x:color rgb="FFB7C9D6"/>
      </x:top>
    </x:border>
    <x:border>
      <x:bottom style="thin">
        <x:color rgb="FFB7C9D6"/>
      </x:bottom>
    </x:border>
    <x:border>
      <x:top style="thin">
        <x:color rgb="FFB7C9D6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Font="1" applyAlignment="1">
      <x:alignment wrapText="1"/>
    </x:xf>
    <x:xf numFmtId="0" fontId="1" fillId="7" borderId="0" xfId="0" applyFont="1" applyFill="1" applyAlignment="1">
      <x:alignment vertical="top" wrapText="1"/>
    </x:xf>
    <x:xf numFmtId="0" fontId="4" fillId="5" borderId="2" xfId="0" applyFont="1" applyFill="1" applyBorder="1" applyAlignment="1">
      <x:alignment horizontal="center" vertical="center" wrapText="1"/>
    </x:xf>
    <x:xf numFmtId="3" fontId="1" fillId="7" borderId="0" xfId="0" applyNumberFormat="1" applyFont="1" applyFill="1" applyAlignment="1">
      <x:alignment horizontal="center" vertical="top" wrapText="1"/>
    </x:xf>
    <x:xf numFmtId="164" fontId="1" fillId="7" borderId="0" xfId="0" applyNumberFormat="1" applyFont="1" applyFill="1" applyAlignment="1">
      <x:alignment horizontal="center" vertical="top" wrapText="1"/>
    </x:xf>
    <x:xf numFmtId="0" fontId="5" fillId="2" borderId="2" xfId="0" applyFont="1" applyFill="1" applyBorder="1" applyAlignment="1">
      <x:alignment horizontal="center" vertical="center" wrapText="1"/>
    </x:xf>
    <x:xf numFmtId="0" fontId="5" fillId="2" borderId="8" xfId="0" applyFont="1" applyFill="1" applyBorder="1" applyAlignment="1">
      <x:alignment horizontal="center" vertical="center" wrapText="1"/>
    </x:xf>
    <x:xf numFmtId="0" fontId="1" fillId="7" borderId="3" xfId="0" applyFont="1" applyFill="1" applyBorder="1" applyAlignment="1">
      <x:alignment vertical="top" wrapText="1"/>
    </x:xf>
    <x:xf numFmtId="0" fontId="1" fillId="7" borderId="4" xfId="0" applyFont="1" applyFill="1" applyBorder="1" applyAlignment="1">
      <x:alignment vertical="top" wrapText="1"/>
    </x:xf>
    <x:xf numFmtId="0" fontId="1" fillId="7" borderId="9" xfId="0" applyFont="1" applyFill="1" applyBorder="1" applyAlignment="1">
      <x:alignment vertical="top" wrapText="1"/>
    </x:xf>
    <x:xf numFmtId="3" fontId="1" fillId="7" borderId="9" xfId="0" applyNumberFormat="1" applyFont="1" applyFill="1" applyBorder="1" applyAlignment="1">
      <x:alignment horizontal="center" vertical="top" wrapText="1"/>
    </x:xf>
    <x:xf numFmtId="164" fontId="1" fillId="7" borderId="9" xfId="0" applyNumberFormat="1" applyFont="1" applyFill="1" applyBorder="1" applyAlignment="1">
      <x:alignment horizontal="center" vertical="top" wrapText="1"/>
    </x:xf>
    <x:xf numFmtId="0" fontId="4" fillId="6" borderId="3" xfId="0" applyFont="1" applyFill="1" applyBorder="1" applyAlignment="1">
      <x:alignment vertical="top" wrapText="1"/>
    </x:xf>
    <x:xf numFmtId="0" fontId="8" fillId="2" borderId="8" xfId="0" applyFont="1" applyFill="1" applyBorder="1" applyAlignment="1">
      <x:alignment horizontal="center" vertical="center" wrapText="1"/>
    </x:xf>
    <x:xf numFmtId="0" fontId="4" fillId="0" borderId="3" xfId="0" applyFont="1" applyBorder="1" applyAlignment="1">
      <x:alignment wrapText="1"/>
    </x:xf>
    <x:xf numFmtId="0" fontId="9" fillId="0" borderId="3" xfId="0" applyFont="1" applyBorder="1" applyAlignment="1">
      <x:alignment wrapText="1"/>
    </x:xf>
    <x:xf numFmtId="164" fontId="1" fillId="8" borderId="0" xfId="0" applyNumberFormat="1" applyFont="1" applyFill="1" applyAlignment="1">
      <x:alignment horizontal="center" vertical="center" wrapText="1"/>
    </x:xf>
    <x:xf numFmtId="164" fontId="1" fillId="8" borderId="9" xfId="0" applyNumberFormat="1" applyFont="1" applyFill="1" applyBorder="1" applyAlignment="1">
      <x:alignment horizontal="center" vertical="center" wrapText="1"/>
    </x:xf>
    <x:xf numFmtId="0" fontId="1" fillId="8" borderId="0" xfId="0" applyFont="1" applyFill="1" applyAlignment="1">
      <x:alignment wrapText="1"/>
    </x:xf>
    <x:xf numFmtId="0" fontId="9" fillId="6" borderId="3" xfId="0" applyFont="1" applyFill="1" applyBorder="1" applyAlignment="1">
      <x:alignment vertical="top" wrapText="1"/>
    </x:xf>
    <x:xf numFmtId="0" fontId="10" fillId="0" borderId="1" xfId="0" applyFont="1" applyBorder="1" applyAlignment="1">
      <x:alignment horizontal="left" vertical="top" wrapText="1"/>
    </x:xf>
    <x:xf numFmtId="0" fontId="10" fillId="0" borderId="7" xfId="0" applyFont="1" applyBorder="1" applyAlignment="1">
      <x:alignment horizontal="left" vertical="top" wrapText="1"/>
    </x:xf>
    <x:xf numFmtId="0" fontId="10" fillId="7" borderId="0" xfId="0" applyFont="1" applyFill="1" applyAlignment="1">
      <x:alignment vertical="top" wrapText="1"/>
    </x:xf>
    <x:xf numFmtId="0" fontId="4" fillId="5" borderId="5" xfId="0" applyFont="1" applyFill="1" applyBorder="1" applyAlignment="1">
      <x:alignment horizontal="center" vertical="center" wrapText="1"/>
    </x:xf>
    <x:xf numFmtId="0" fontId="4" fillId="5" borderId="10" xfId="0" applyFont="1" applyFill="1" applyBorder="1" applyAlignment="1">
      <x:alignment horizontal="center" vertical="center" wrapText="1"/>
    </x:xf>
    <x:xf numFmtId="0" fontId="4" fillId="5" borderId="6" xfId="0" applyFont="1" applyFill="1" applyBorder="1" applyAlignment="1">
      <x:alignment horizontal="center" vertical="center" wrapText="1"/>
    </x:xf>
    <x:xf numFmtId="0" fontId="3" fillId="4" borderId="0" xfId="0" applyFont="1" applyFill="1" applyAlignment="1">
      <x:alignment horizontal="left" vertical="center" wrapText="1"/>
    </x:xf>
    <x:xf numFmtId="0" fontId="5" fillId="2" borderId="8" xfId="0" applyFont="1" applyFill="1" applyBorder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0" fontId="6" fillId="2" borderId="1" xfId="0" applyFont="1" applyFill="1" applyBorder="1" applyAlignment="1">
      <x:alignment horizontal="center" vertical="center" wrapText="1"/>
    </x:xf>
    <x:xf numFmtId="0" fontId="11" fillId="3" borderId="5" xfId="0" applyFont="1" applyFill="1" applyBorder="1" applyAlignment="1">
      <x:alignment horizontal="center" vertical="center" wrapText="1"/>
    </x:xf>
    <x:xf numFmtId="0" fontId="11" fillId="3" borderId="10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200" fontId="1" fillId="7" borderId="0" xfId="0" applyNumberFormat="1" applyFont="1" applyFill="1" applyBorder="1" applyAlignment="1">
      <x:alignment horizontal="center" vertical="top" wrapText="1"/>
    </x:xf>
    <x:xf numFmtId="200" fontId="1" fillId="8" borderId="0" xfId="0" applyNumberFormat="1" applyFont="1" applyFill="1" applyBorder="1" applyAlignment="1">
      <x:alignment horizontal="center" vertical="center" wrapText="1"/>
    </x:xf>
    <x:xf numFmtId="200" fontId="1" fillId="7" borderId="9" xfId="0" applyNumberFormat="1" applyFont="1" applyFill="1" applyBorder="1" applyAlignment="1">
      <x:alignment horizontal="center" vertical="top" wrapText="1"/>
    </x:xf>
    <x:xf numFmtId="200" fontId="1" fillId="8" borderId="9" xfId="0" applyNumberFormat="1" applyFont="1" applyFill="1" applyBorder="1" applyAlignment="1">
      <x:alignment horizontal="center" vertical="center" wrapText="1"/>
    </x:xf>
    <x:xf numFmtId="201" fontId="1" fillId="7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9" borderId="0" xfId="0" applyNumberFormat="1" applyFont="1" applyFill="1" applyBorder="1"/>
    <x:xf numFmtId="200" fontId="12" fillId="9" borderId="0" xfId="0" applyNumberFormat="1" applyFont="1" applyFill="1" applyBorder="1"/>
    <x:xf numFmtId="200" fontId="12" fillId="9" borderId="11" xfId="0" applyNumberFormat="1" applyFont="1" applyFill="1" applyBorder="1"/>
    <x:xf numFmtId="202" fontId="0" fillId="0" borderId="11" xfId="0" applyNumberFormat="1" applyFont="1" applyFill="1" applyBorder="1"/>
    <x:xf numFmtId="200" fontId="0" fillId="0" borderId="11" xfId="0" applyNumberFormat="1" applyFont="1" applyFill="1" applyBorder="1"/>
    <x:xf numFmtId="0" fontId="10" fillId="7" borderId="0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horizontal="right" vertical="top" wrapText="1"/>
    </x:xf>
    <x:xf numFmtId="200" fontId="1" fillId="8" borderId="0" xfId="0" applyNumberFormat="1" applyFont="1" applyFill="1" applyBorder="1" applyAlignment="1">
      <x:alignment horizontal="right" vertical="center" wrapText="1"/>
    </x:xf>
    <x:xf numFmtId="201" fontId="1" fillId="7" borderId="0" xfId="0" applyNumberFormat="1" applyFont="1" applyFill="1" applyBorder="1" applyAlignment="1">
      <x:alignment horizontal="right" vertical="top" wrapText="1"/>
    </x:xf>
    <x:xf numFmtId="200" fontId="1" fillId="7" borderId="9" xfId="0" applyNumberFormat="1" applyFont="1" applyFill="1" applyBorder="1" applyAlignment="1">
      <x:alignment horizontal="right" vertical="top" wrapText="1"/>
    </x:xf>
    <x:xf numFmtId="200" fontId="1" fillId="8" borderId="9" xfId="0" applyNumberFormat="1" applyFont="1" applyFill="1" applyBorder="1" applyAlignment="1">
      <x:alignment horizontal="right" vertical="center" wrapText="1"/>
    </x:xf>
    <x:xf numFmtId="0" fontId="1" fillId="7" borderId="3" xfId="0" applyNumberFormat="1" applyFont="1" applyFill="1" applyBorder="1" applyAlignment="1">
      <x:alignment horizontal="left" vertical="top" wrapText="1"/>
    </x:xf>
    <x:xf numFmtId="0" fontId="1" fillId="7" borderId="0" xfId="0" applyNumberFormat="1" applyFont="1" applyFill="1" applyBorder="1" applyAlignment="1">
      <x:alignment horizontal="left" vertical="top" wrapText="1"/>
    </x:xf>
    <x:xf numFmtId="3" fontId="1" fillId="7" borderId="0" xfId="0" applyNumberFormat="1" applyFont="1" applyFill="1" applyBorder="1" applyAlignment="1">
      <x:alignment horizontal="left" vertical="top" wrapText="1"/>
    </x:xf>
    <x:xf numFmtId="0" fontId="1" fillId="7" borderId="4" xfId="0" applyNumberFormat="1" applyFont="1" applyFill="1" applyBorder="1" applyAlignment="1">
      <x:alignment horizontal="left" vertical="top" wrapText="1"/>
    </x:xf>
    <x:xf numFmtId="0" fontId="1" fillId="7" borderId="9" xfId="0" applyNumberFormat="1" applyFont="1" applyFill="1" applyBorder="1" applyAlignment="1">
      <x:alignment horizontal="left" vertical="top" wrapText="1"/>
    </x:xf>
    <x:xf numFmtId="3" fontId="1" fillId="7" borderId="9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7">
    <x:dxf>
      <x:font>
        <x:u val="none"/>
        <x:sz val="11"/>
        <x:color rgb="FF1F2937"/>
        <x:name val="Calibri"/>
        <x:scheme val="none"/>
      </x:font>
      <x:numFmt numFmtId="3" formatCode="#,##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164" formatCode="0.00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164" formatCode="0.00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164" formatCode="0.00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164" formatCode="0.00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164" formatCode="0.00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3" formatCode="#,##0"/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c0b38e7c974ef9" /><Relationship Type="http://schemas.openxmlformats.org/officeDocument/2006/relationships/theme" Target="/xl/theme/theme1.xml" Id="Rd99a5e02b78a450c" /><Relationship Type="http://schemas.openxmlformats.org/officeDocument/2006/relationships/sharedStrings" Target="/xl/sharedStrings.xml" Id="Rcfe8b18b037e4b80" /><Relationship Type="http://schemas.openxmlformats.org/officeDocument/2006/relationships/worksheet" Target="/xl/worksheets/sheet1.xml" Id="Rb3d9f64f7a834e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9bcd807d1940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Tempo medio (s) por tamanho do vetor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Selection Sort</c:v>
          </c:tx>
          <c:cat>
            <c:strRef>
              <c:f>'Resultados - Ordenação'!$K$56:$K$58</c:f>
              <c:strCache>
                <c:ptCount val="0"/>
              </c:strCache>
            </c:strRef>
          </c:cat>
          <c:val>
            <c:numRef>
              <c:f>'Resultados - Ordenação'!$L$56:$L$58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Merge Sort</c:v>
          </c:tx>
          <c:cat>
            <c:strRef>
              <c:f>'Resultados - Ordenação'!$K$56:$K$58</c:f>
              <c:strCache>
                <c:ptCount val="0"/>
              </c:strCache>
            </c:strRef>
          </c:cat>
          <c:val>
            <c:numRef>
              <c:f>'Resultados - Ordenação'!$M$56:$M$58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Quick Sort</c:v>
          </c:tx>
          <c:cat>
            <c:strRef>
              <c:f>'Resultados - Ordenação'!$K$56:$K$58</c:f>
              <c:strCache>
                <c:ptCount val="0"/>
              </c:strCache>
            </c:strRef>
          </c:cat>
          <c:val>
            <c:numRef>
              <c:f>'Resultados - Ordenação'!$N$56:$N$58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31</xdr:row>
      <xdr:rowOff>0</xdr:rowOff>
    </xdr:from>
    <xdr:to>
      <xdr:col>9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9bcd807d1940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ResultadosOrdenacao" displayName="TabelaResultadosOrdenacao" ref="A18:I27">
  <x:tableColumns count="9">
    <x:tableColumn id="1" name="Algoritmo"/>
    <x:tableColumn id="2" name="Complexidade no caso médio"/>
    <x:tableColumn id="5" name="Tamanho do vetor"/>
    <x:tableColumn id="6" name="Execução 1 (s)"/>
    <x:tableColumn id="7" name="Execução 2 (s)"/>
    <x:tableColumn id="8" name="Execução 3 (s)"/>
    <x:tableColumn id="9" name="Tempo médio (s)"/>
    <x:tableColumn id="10" name="Desvio padrão (s)"/>
    <x:tableColumn id="12" name="Trocas ou moviment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5cc6205f8944a0" /><Relationship Type="http://schemas.openxmlformats.org/officeDocument/2006/relationships/table" Target="/xl/tables/table1.xml" Id="R2d294c76d71f41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22" customWidth="1"/>
    <x:col min="3" max="3" width="24" customWidth="1"/>
    <x:col min="4" max="5" width="16" customWidth="1"/>
    <x:col min="6" max="8" width="14" customWidth="1"/>
    <x:col min="9" max="9" width="18" customWidth="1"/>
  </x:cols>
  <x:sheetData>
    <x:row r="1" ht="2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</x:row>
    <x:row r="2" ht="21">
      <x:c r="A2" s="29" t="s">
        <x:v>1</x:v>
      </x:c>
      <x:c r="B2" s="29"/>
      <x:c r="C2" s="29"/>
      <x:c r="D2" s="29"/>
      <x:c r="E2" s="29"/>
      <x:c r="F2" s="29"/>
      <x:c r="G2" s="29"/>
      <x:c r="H2" s="29"/>
      <x:c r="I2" s="29"/>
    </x:row>
    <x:row r="3" ht="21">
      <x:c r="A3" s="29" t="s">
        <x:v>2</x:v>
      </x:c>
      <x:c r="B3" s="29"/>
      <x:c r="C3" s="29"/>
      <x:c r="D3" s="29"/>
      <x:c r="E3" s="29"/>
      <x:c r="F3" s="29"/>
      <x:c r="G3" s="29"/>
      <x:c r="H3" s="29"/>
      <x:c r="I3" s="29"/>
    </x:row>
    <x:row r="4" ht="21" customHeight="1">
      <x:c r="A4" s="30" t="s">
        <x:v>3</x:v>
      </x:c>
      <x:c r="B4" s="31"/>
      <x:c r="C4" s="31"/>
      <x:c r="D4" s="31"/>
      <x:c r="E4" s="31"/>
      <x:c r="F4" s="31"/>
      <x:c r="G4" s="31"/>
      <x:c r="H4" s="31"/>
      <x:c r="I4" s="31"/>
    </x:row>
    <x:row r="5" ht="30" customHeight="1">
      <x:c r="A5" s="31"/>
      <x:c r="B5" s="31"/>
      <x:c r="C5" s="31"/>
      <x:c r="D5" s="31"/>
      <x:c r="E5" s="31"/>
      <x:c r="F5" s="31"/>
      <x:c r="G5" s="31"/>
      <x:c r="H5" s="31"/>
      <x:c r="I5" s="3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24" customHeight="1">
      <x:c r="A7" s="27" t="s">
        <x:v>4</x:v>
      </x:c>
      <x:c r="B7" s="27"/>
      <x:c r="C7" s="27"/>
      <x:c r="D7" s="27"/>
      <x:c r="E7" s="27"/>
      <x:c r="F7" s="27"/>
      <x:c r="G7" s="27"/>
      <x:c r="H7" s="27"/>
      <x:c r="I7" s="27"/>
    </x:row>
    <x:row r="8">
      <x:c r="A8" s="3" t="s">
        <x:v>5</x:v>
      </x:c>
      <x:c r="B8" s="34" t="s">
        <x:v>6</x:v>
      </x:c>
      <x:c r="C8" s="34"/>
      <x:c r="D8" s="34"/>
      <x:c r="E8" s="34"/>
      <x:c r="F8" s="34"/>
      <x:c r="G8" s="34"/>
      <x:c r="H8" s="34"/>
      <x:c r="I8" s="34"/>
    </x:row>
    <x:row r="9">
      <x:c r="A9" s="16" t="s">
        <x:v>7</x:v>
      </x:c>
      <x:c r="B9" s="21" t="str">
        <x:v>Pedro de Mello Porto Daou</x:v>
      </x:c>
      <x:c r="C9" s="21"/>
      <x:c r="D9" s="21"/>
      <x:c r="E9" s="21"/>
      <x:c r="F9" s="21"/>
      <x:c r="G9" s="21"/>
      <x:c r="H9" s="21"/>
      <x:c r="I9" s="22"/>
    </x:row>
    <x:row r="10">
      <x:c r="A10" s="16" t="s">
        <x:v>8</x:v>
      </x:c>
      <x:c r="B10" s="21" t="str">
        <x:v>21010698</x:v>
      </x:c>
      <x:c r="C10" s="21"/>
      <x:c r="D10" s="21"/>
      <x:c r="E10" s="21"/>
      <x:c r="F10" s="21"/>
      <x:c r="G10" s="21"/>
      <x:c r="H10" s="21"/>
      <x:c r="I10" s="22"/>
    </x:row>
    <x:row r="11" ht="30">
      <x:c r="A11" s="16" t="s">
        <x:v>9</x:v>
      </x:c>
      <x:c r="B11" s="21" t="str">
        <x:v>JavaScript (Node.js v24.14.0)</x:v>
      </x:c>
      <x:c r="C11" s="21"/>
      <x:c r="D11" s="21"/>
      <x:c r="E11" s="21"/>
      <x:c r="F11" s="21"/>
      <x:c r="G11" s="21"/>
      <x:c r="H11" s="21"/>
      <x:c r="I11" s="22"/>
    </x:row>
    <x:row r="12">
      <x:c r="A12" s="15" t="s">
        <x:v>10</x:v>
      </x:c>
      <x:c r="B12" s="21" t="str">
        <x:v>Windows 11 Pro (10.0.26200, x64)</x:v>
      </x:c>
      <x:c r="C12" s="21"/>
      <x:c r="D12" s="21"/>
      <x:c r="E12" s="21"/>
      <x:c r="F12" s="21"/>
      <x:c r="G12" s="21"/>
      <x:c r="H12" s="21"/>
      <x:c r="I12" s="22"/>
    </x:row>
    <x:row r="13">
      <x:c r="A13" s="15" t="s">
        <x:v>11</x:v>
      </x:c>
      <x:c r="B13" s="21" t="str">
        <x:v>13th Gen Intel(R) Core(TM) i7-13620H</x:v>
      </x:c>
      <x:c r="C13" s="21"/>
      <x:c r="D13" s="21"/>
      <x:c r="E13" s="21"/>
      <x:c r="F13" s="21"/>
      <x:c r="G13" s="21"/>
      <x:c r="H13" s="21"/>
      <x:c r="I13" s="22"/>
    </x:row>
    <x:row r="14">
      <x:c r="A14" s="15" t="s">
        <x:v>12</x:v>
      </x:c>
      <x:c r="B14" s="21" t="str">
        <x:v>15.71 GB</x:v>
      </x:c>
      <x:c r="C14" s="21"/>
      <x:c r="D14" s="21"/>
      <x:c r="E14" s="21"/>
      <x:c r="F14" s="21"/>
      <x:c r="G14" s="21"/>
      <x:c r="H14" s="21"/>
      <x:c r="I14" s="22"/>
    </x:row>
    <x:row r="15" ht="30">
      <x:c r="A15" s="15" t="s">
        <x:v>13</x:v>
      </x:c>
      <x:c r="B15" s="21" t="str">
        <x:v>https://github.com/pedrodaou/atividadeX-ftcca</x:v>
      </x:c>
      <x:c r="C15" s="21"/>
      <x:c r="D15" s="21"/>
      <x:c r="E15" s="21"/>
      <x:c r="F15" s="21"/>
      <x:c r="G15" s="21"/>
      <x:c r="H15" s="21"/>
      <x:c r="I15" s="22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4" customHeight="1">
      <x:c r="A17" s="27" t="s">
        <x:v>14</x:v>
      </x:c>
      <x:c r="B17" s="27"/>
      <x:c r="C17" s="27"/>
      <x:c r="D17" s="27"/>
      <x:c r="E17" s="27"/>
      <x:c r="F17" s="27"/>
      <x:c r="G17" s="27"/>
      <x:c r="H17" s="27"/>
      <x:c r="I17" s="27"/>
    </x:row>
    <x:row r="18" ht="42" customHeight="1">
      <x:c r="A18" s="6" t="s">
        <x:v>15</x:v>
      </x:c>
      <x:c r="B18" s="14" t="s">
        <x:v>16</x:v>
      </x:c>
      <x:c r="C18" s="7" t="s">
        <x:v>17</x:v>
      </x:c>
      <x:c r="D18" s="7" t="s">
        <x:v>18</x:v>
      </x:c>
      <x:c r="E18" s="7" t="s">
        <x:v>19</x:v>
      </x:c>
      <x:c r="F18" s="7" t="s">
        <x:v>20</x:v>
      </x:c>
      <x:c r="G18" s="7" t="s">
        <x:v>21</x:v>
      </x:c>
      <x:c r="H18" s="7" t="s">
        <x:v>22</x:v>
      </x:c>
      <x:c r="I18" s="7" t="s">
        <x:v>23</x:v>
      </x:c>
    </x:row>
    <x:row r="19" ht="38.099998474121094" customHeight="1">
      <x:c r="A19" s="53" t="str">
        <x:v>Selection Sort</x:v>
      </x:c>
      <x:c r="B19" s="54" t="str">
        <x:v>O(n^2)</x:v>
      </x:c>
      <x:c r="C19" s="55" t="n">
        <x:v>1000</x:v>
      </x:c>
      <x:c r="D19" s="48" t="n">
        <x:v>0.005528</x:v>
      </x:c>
      <x:c r="E19" s="48" t="n">
        <x:v>0.001002</x:v>
      </x:c>
      <x:c r="F19" s="48" t="n">
        <x:v>0.000912</x:v>
      </x:c>
      <x:c r="G19" s="49" t="n">
        <x:f t="shared" ref="G19:G27" si="0">AVERAGE(D19:F19)</x:f>
        <x:v>0.002480666666666667</x:v>
      </x:c>
      <x:c r="H19" s="49" t="n">
        <x:f t="shared" ref="H19:H27" si="1">STDEV.S(D19:F19)</x:f>
        <x:v>0.002639451710740951</x:v>
      </x:c>
      <x:c r="I19" s="50" t="n">
        <x:v>993</x:v>
      </x:c>
    </x:row>
    <x:row r="20" ht="38.099998474121094" customHeight="1">
      <x:c r="A20" s="53" t="str">
        <x:v>Selection Sort</x:v>
      </x:c>
      <x:c r="B20" s="54" t="str">
        <x:v>O(n^2)</x:v>
      </x:c>
      <x:c r="C20" s="55" t="n">
        <x:v>10000</x:v>
      </x:c>
      <x:c r="D20" s="48" t="n">
        <x:v>0.095091</x:v>
      </x:c>
      <x:c r="E20" s="48" t="n">
        <x:v>0.075918</x:v>
      </x:c>
      <x:c r="F20" s="48" t="n">
        <x:v>0.073297</x:v>
      </x:c>
      <x:c r="G20" s="49" t="n">
        <x:f t="shared" si="0">AVERAGE(D20:F20)</x:f>
        <x:v>0.08143533333333333</x:v>
      </x:c>
      <x:c r="H20" s="49" t="n">
        <x:f t="shared" si="1">STDEV.S(D20:F20)</x:f>
        <x:v>0.011898543370233739</x:v>
      </x:c>
      <x:c r="I20" s="50" t="n">
        <x:v>9983</x:v>
      </x:c>
    </x:row>
    <x:row r="21" ht="38.099998474121094" customHeight="1">
      <x:c r="A21" s="53" t="str">
        <x:v>Selection Sort</x:v>
      </x:c>
      <x:c r="B21" s="54" t="str">
        <x:v>O(n^2)</x:v>
      </x:c>
      <x:c r="C21" s="55" t="n">
        <x:v>100000</x:v>
      </x:c>
      <x:c r="D21" s="48" t="n">
        <x:v>6.819774</x:v>
      </x:c>
      <x:c r="E21" s="48" t="n">
        <x:v>6.658477</x:v>
      </x:c>
      <x:c r="F21" s="48" t="n">
        <x:v>6.816766</x:v>
      </x:c>
      <x:c r="G21" s="49" t="n">
        <x:f t="shared" si="0">AVERAGE(D21:F21)</x:f>
        <x:v>6.765005666666667</x:v>
      </x:c>
      <x:c r="H21" s="49" t="n">
        <x:f t="shared" si="1">STDEV.S(D21:F21)</x:f>
        <x:v>0.09226879013151355</x:v>
      </x:c>
      <x:c r="I21" s="50" t="n">
        <x:v>99982</x:v>
      </x:c>
    </x:row>
    <x:row r="22" ht="38.099998474121094" customHeight="1">
      <x:c r="A22" s="53" t="str">
        <x:v>Merge Sort</x:v>
      </x:c>
      <x:c r="B22" s="54" t="str">
        <x:v>O(n log n)</x:v>
      </x:c>
      <x:c r="C22" s="55" t="n">
        <x:v>1000</x:v>
      </x:c>
      <x:c r="D22" s="48" t="n">
        <x:v>0.000523</x:v>
      </x:c>
      <x:c r="E22" s="48" t="n">
        <x:v>0.000273</x:v>
      </x:c>
      <x:c r="F22" s="48" t="n">
        <x:v>0.000218</x:v>
      </x:c>
      <x:c r="G22" s="49" t="n">
        <x:f t="shared" si="0">AVERAGE(D22:F22)</x:f>
        <x:v>0.00033800000000000003</x:v>
      </x:c>
      <x:c r="H22" s="49" t="n">
        <x:f t="shared" si="1">STDEV.S(D22:F22)</x:f>
        <x:v>0.00016255768207008858</x:v>
      </x:c>
      <x:c r="I22" s="50" t="n">
        <x:v>10000</x:v>
      </x:c>
    </x:row>
    <x:row r="23" ht="38.099998474121094" customHeight="1">
      <x:c r="A23" s="53" t="str">
        <x:v>Merge Sort</x:v>
      </x:c>
      <x:c r="B23" s="54" t="str">
        <x:v>O(n log n)</x:v>
      </x:c>
      <x:c r="C23" s="55" t="n">
        <x:v>10000</x:v>
      </x:c>
      <x:c r="D23" s="48" t="n">
        <x:v>0.001396</x:v>
      </x:c>
      <x:c r="E23" s="48" t="n">
        <x:v>0.001707</x:v>
      </x:c>
      <x:c r="F23" s="48" t="n">
        <x:v>0.001507</x:v>
      </x:c>
      <x:c r="G23" s="49" t="n">
        <x:f t="shared" si="0">AVERAGE(D23:F23)</x:f>
        <x:v>0.0015366666666666664</x:v>
      </x:c>
      <x:c r="H23" s="49" t="n">
        <x:f t="shared" si="1">STDEV.S(D23:F23)</x:f>
        <x:v>0.00015760816391714394</x:v>
      </x:c>
      <x:c r="I23" s="50" t="n">
        <x:v>140000</x:v>
      </x:c>
    </x:row>
    <x:row r="24" ht="38.099998474121094" customHeight="1">
      <x:c r="A24" s="53" t="str">
        <x:v>Merge Sort</x:v>
      </x:c>
      <x:c r="B24" s="54" t="str">
        <x:v>O(n log n)</x:v>
      </x:c>
      <x:c r="C24" s="55" t="n">
        <x:v>100000</x:v>
      </x:c>
      <x:c r="D24" s="48" t="n">
        <x:v>0.018317</x:v>
      </x:c>
      <x:c r="E24" s="48" t="n">
        <x:v>0.018337</x:v>
      </x:c>
      <x:c r="F24" s="48" t="n">
        <x:v>0.019326</x:v>
      </x:c>
      <x:c r="G24" s="49" t="n">
        <x:f t="shared" si="0">AVERAGE(D24:F24)</x:f>
        <x:v>0.01866</x:v>
      </x:c>
      <x:c r="H24" s="49" t="n">
        <x:f t="shared" si="1">STDEV.S(D24:F24)</x:f>
        <x:v>0.000576859601636308</x:v>
      </x:c>
      <x:c r="I24" s="50" t="n">
        <x:v>1700000</x:v>
      </x:c>
    </x:row>
    <x:row r="25" ht="38.099998474121094" customHeight="1">
      <x:c r="A25" s="53" t="str">
        <x:v>Quick Sort</x:v>
      </x:c>
      <x:c r="B25" s="54" t="str">
        <x:v>O(n log n)</x:v>
      </x:c>
      <x:c r="C25" s="55" t="n">
        <x:v>1000</x:v>
      </x:c>
      <x:c r="D25" s="48" t="n">
        <x:v>0.001324</x:v>
      </x:c>
      <x:c r="E25" s="48" t="n">
        <x:v>0.000591</x:v>
      </x:c>
      <x:c r="F25" s="48" t="n">
        <x:v>0.000916</x:v>
      </x:c>
      <x:c r="G25" s="49" t="n">
        <x:f t="shared" si="0">AVERAGE(D25:F25)</x:f>
        <x:v>0.0009436666666666668</x:v>
      </x:c>
      <x:c r="H25" s="49" t="n">
        <x:f t="shared" si="1">STDEV.S(D25:F25)</x:f>
        <x:v>0.0003672823618598276</x:v>
      </x:c>
      <x:c r="I25" s="50" t="n">
        <x:v>4623</x:v>
      </x:c>
    </x:row>
    <x:row r="26" ht="38.099998474121094" customHeight="1">
      <x:c r="A26" s="53" t="str">
        <x:v>Quick Sort</x:v>
      </x:c>
      <x:c r="B26" s="54" t="str">
        <x:v>O(n log n)</x:v>
      </x:c>
      <x:c r="C26" s="55" t="n">
        <x:v>10000</x:v>
      </x:c>
      <x:c r="D26" s="48" t="n">
        <x:v>0.00229</x:v>
      </x:c>
      <x:c r="E26" s="48" t="n">
        <x:v>0.002563</x:v>
      </x:c>
      <x:c r="F26" s="48" t="n">
        <x:v>0.001898</x:v>
      </x:c>
      <x:c r="G26" s="49" t="n">
        <x:f t="shared" si="0">AVERAGE(D26:F26)</x:f>
        <x:v>0.0022503333333333334</x:v>
      </x:c>
      <x:c r="H26" s="49" t="n">
        <x:f t="shared" si="1">STDEV.S(D26:F26)</x:f>
        <x:v>0.00033426985106846445</x:v>
      </x:c>
      <x:c r="I26" s="50" t="n">
        <x:v>69063</x:v>
      </x:c>
    </x:row>
    <x:row r="27" ht="38.099998474121094" customHeight="1">
      <x:c r="A27" s="56" t="str">
        <x:v>Quick Sort</x:v>
      </x:c>
      <x:c r="B27" s="57" t="str">
        <x:v>O(n log n)</x:v>
      </x:c>
      <x:c r="C27" s="58" t="n">
        <x:v>100000</x:v>
      </x:c>
      <x:c r="D27" s="51" t="n">
        <x:v>0.017746</x:v>
      </x:c>
      <x:c r="E27" s="51" t="n">
        <x:v>0.014267</x:v>
      </x:c>
      <x:c r="F27" s="51" t="n">
        <x:v>0.013799</x:v>
      </x:c>
      <x:c r="G27" s="49" t="n">
        <x:f t="shared" si="0">AVERAGE(D27:F27)</x:f>
        <x:v>0.015270666666666667</x:v>
      </x:c>
      <x:c r="H27" s="52" t="n">
        <x:f t="shared" si="1">STDEV.S(D27:F27)</x:f>
        <x:v>0.002156435098335523</x:v>
      </x:c>
      <x:c r="I27" s="50" t="n">
        <x:v>1076572</x:v>
      </x:c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36" customHeight="1">
      <x:c r="A29" s="32" t="s">
        <x:v>24</x:v>
      </x:c>
      <x:c r="B29" s="33"/>
      <x:c r="C29" s="33"/>
      <x:c r="D29" s="33"/>
      <x:c r="E29" s="33"/>
      <x:c r="F29" s="33"/>
      <x:c r="G29" s="33"/>
      <x:c r="H29" s="33"/>
      <x:c r="I29" s="33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4" customHeight="1">
      <x:c r="A31" s="27" t="s">
        <x:v>25</x:v>
      </x:c>
      <x:c r="B31" s="27"/>
      <x:c r="C31" s="27"/>
      <x:c r="D31" s="27"/>
      <x:c r="E31" s="27"/>
      <x:c r="F31" s="27"/>
      <x:c r="G31" s="27"/>
      <x:c r="H31" s="27"/>
      <x:c r="I31" s="27"/>
    </x:row>
    <x:row r="32" ht="15" customHeight="1">
      <x:c r="A32" s="24"/>
      <x:c r="B32" s="25"/>
      <x:c r="C32" s="25"/>
      <x:c r="D32" s="25"/>
      <x:c r="E32" s="25"/>
      <x:c r="F32" s="25"/>
      <x:c r="G32" s="25"/>
      <x:c r="H32" s="25"/>
      <x:c r="I32" s="26"/>
    </x:row>
    <x:row r="33" ht="15" customHeight="1">
      <x:c r="A33" s="19"/>
      <x:c r="B33" s="19"/>
      <x:c r="C33" s="19"/>
      <x:c r="D33" s="19"/>
      <x:c r="E33" s="19"/>
      <x:c r="F33" s="19"/>
      <x:c r="G33" s="19"/>
      <x:c r="H33" s="19"/>
      <x:c r="I33" s="19"/>
    </x:row>
    <x:row r="34" ht="15" customHeight="1">
      <x:c r="A34" s="19"/>
      <x:c r="B34" s="19"/>
      <x:c r="C34" s="19"/>
      <x:c r="D34" s="19"/>
      <x:c r="E34" s="19"/>
      <x:c r="F34" s="19"/>
      <x:c r="G34" s="19"/>
      <x:c r="H34" s="19"/>
      <x:c r="I34" s="19"/>
    </x:row>
    <x:row r="35" ht="15" customHeight="1">
      <x:c r="A35" s="19"/>
      <x:c r="B35" s="19"/>
      <x:c r="C35" s="19"/>
      <x:c r="D35" s="19"/>
      <x:c r="E35" s="19"/>
      <x:c r="F35" s="19"/>
      <x:c r="G35" s="19"/>
      <x:c r="H35" s="19"/>
      <x:c r="I35" s="19"/>
    </x:row>
    <x:row r="36" ht="15" customHeight="1">
      <x:c r="A36" s="19"/>
      <x:c r="B36" s="19"/>
      <x:c r="C36" s="19"/>
      <x:c r="D36" s="19"/>
      <x:c r="E36" s="19"/>
      <x:c r="F36" s="19"/>
      <x:c r="G36" s="19"/>
      <x:c r="H36" s="19"/>
      <x:c r="I36" s="19"/>
    </x:row>
    <x:row r="37" ht="15" customHeight="1">
      <x:c r="A37" s="19"/>
      <x:c r="B37" s="19"/>
      <x:c r="C37" s="19"/>
      <x:c r="D37" s="19"/>
      <x:c r="E37" s="19"/>
      <x:c r="F37" s="19"/>
      <x:c r="G37" s="19"/>
      <x:c r="H37" s="19"/>
      <x:c r="I37" s="19"/>
    </x:row>
    <x:row r="38" ht="15" customHeight="1">
      <x:c r="A38" s="19"/>
      <x:c r="B38" s="19"/>
      <x:c r="C38" s="19"/>
      <x:c r="D38" s="19"/>
      <x:c r="E38" s="19"/>
      <x:c r="F38" s="19"/>
      <x:c r="G38" s="19"/>
      <x:c r="H38" s="19"/>
      <x:c r="I38" s="19"/>
    </x:row>
    <x:row r="39" ht="15" customHeight="1">
      <x:c r="A39" s="19"/>
      <x:c r="B39" s="19"/>
      <x:c r="C39" s="19"/>
      <x:c r="D39" s="19"/>
      <x:c r="E39" s="19"/>
      <x:c r="F39" s="19"/>
      <x:c r="G39" s="19"/>
      <x:c r="H39" s="19"/>
      <x:c r="I39" s="19"/>
    </x:row>
    <x:row r="40" ht="15" customHeight="1">
      <x:c r="A40" s="19"/>
      <x:c r="B40" s="19"/>
      <x:c r="C40" s="19"/>
      <x:c r="D40" s="19"/>
      <x:c r="E40" s="19"/>
      <x:c r="F40" s="19"/>
      <x:c r="G40" s="19"/>
      <x:c r="H40" s="19"/>
      <x:c r="I40" s="19"/>
    </x:row>
    <x:row r="41" ht="15" customHeight="1">
      <x:c r="A41" s="19"/>
      <x:c r="B41" s="19"/>
      <x:c r="C41" s="19"/>
      <x:c r="D41" s="19"/>
      <x:c r="E41" s="19"/>
      <x:c r="F41" s="19"/>
      <x:c r="G41" s="19"/>
      <x:c r="H41" s="19"/>
      <x:c r="I41" s="19"/>
    </x:row>
    <x:row r="42" ht="15" customHeight="1">
      <x:c r="A42" s="19"/>
      <x:c r="B42" s="19"/>
      <x:c r="C42" s="19"/>
      <x:c r="D42" s="19"/>
      <x:c r="E42" s="19"/>
      <x:c r="F42" s="19"/>
      <x:c r="G42" s="19"/>
      <x:c r="H42" s="19"/>
      <x:c r="I42" s="19"/>
    </x:row>
    <x:row r="43" ht="15" customHeight="1">
      <x:c r="A43" s="19"/>
      <x:c r="B43" s="19"/>
      <x:c r="C43" s="19"/>
      <x:c r="D43" s="19"/>
      <x:c r="E43" s="19"/>
      <x:c r="F43" s="19"/>
      <x:c r="G43" s="19"/>
      <x:c r="H43" s="19"/>
      <x:c r="I43" s="19"/>
    </x:row>
    <x:row r="44" ht="15" customHeight="1">
      <x:c r="A44" s="19"/>
      <x:c r="B44" s="19"/>
      <x:c r="C44" s="19"/>
      <x:c r="D44" s="19"/>
      <x:c r="E44" s="19"/>
      <x:c r="F44" s="19"/>
      <x:c r="G44" s="19"/>
      <x:c r="H44" s="19"/>
      <x:c r="I44" s="19"/>
    </x:row>
    <x:row r="45" ht="15" customHeight="1">
      <x:c r="A45" s="19"/>
      <x:c r="B45" s="19"/>
      <x:c r="C45" s="19"/>
      <x:c r="D45" s="19"/>
      <x:c r="E45" s="19"/>
      <x:c r="F45" s="19"/>
      <x:c r="G45" s="19"/>
      <x:c r="H45" s="19"/>
      <x:c r="I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</x:row>
    <x:row r="47" ht="24" customHeight="1">
      <x:c r="A47" s="27" t="s">
        <x:v>26</x:v>
      </x:c>
      <x:c r="B47" s="27"/>
      <x:c r="C47" s="27"/>
      <x:c r="D47" s="27"/>
      <x:c r="E47" s="27"/>
      <x:c r="F47" s="27"/>
      <x:c r="G47" s="27"/>
      <x:c r="H47" s="27"/>
      <x:c r="I47" s="27"/>
    </x:row>
    <x:row r="48">
      <x:c r="A48" s="6" t="s">
        <x:v>27</x:v>
      </x:c>
      <x:c r="B48" s="28" t="s">
        <x:v>28</x:v>
      </x:c>
      <x:c r="C48" s="28"/>
      <x:c r="D48" s="28"/>
      <x:c r="E48" s="28"/>
      <x:c r="F48" s="28"/>
      <x:c r="G48" s="28"/>
      <x:c r="H48" s="28"/>
      <x:c r="I48" s="28"/>
    </x:row>
    <x:row r="49" ht="55.5" customHeight="1">
      <x:c r="A49" s="13" t="s">
        <x:v>29</x:v>
      </x:c>
      <x:c r="B49" s="47" t="str">
        <x:v>Sim. O Selection Sort cresceu muito mais ao passar de 1.000 para 100.000 elementos, chegando a 6.765006 s, coerente com O(n^2). Merge Sort e Quick Sort mantiveram tempos bem menores nos tamanhos maiores, com 0.018660 s e 0.015271 s em 100.000 elementos, coerentes com comportamento pratico O(n log n).</x:v>
      </x:c>
      <x:c r="C49" s="47"/>
      <x:c r="D49" s="47"/>
      <x:c r="E49" s="47"/>
      <x:c r="F49" s="47"/>
      <x:c r="G49" s="47"/>
      <x:c r="H49" s="47"/>
      <x:c r="I49" s="47"/>
    </x:row>
    <x:row r="50" ht="55.5" customHeight="1">
      <x:c r="A50" s="13" t="s">
        <x:v>30</x:v>
      </x:c>
      <x:c r="B50" s="47" t="str">
        <x:v>Parcialmente. Merge Sort e Quick Sort tiveram crescimento claro nas movimentacoes/trocas. No Selection Sort, a quantidade registrada de trocas cresce quase linearmente, mas o tempo cresce muito mais porque o custo principal do algoritmo sao as comparacoes, que continuam quadraticas.</x:v>
      </x:c>
      <x:c r="C50" s="47"/>
      <x:c r="D50" s="47"/>
      <x:c r="E50" s="47"/>
      <x:c r="F50" s="47"/>
      <x:c r="G50" s="47"/>
      <x:c r="H50" s="47"/>
      <x:c r="I50" s="47"/>
    </x:row>
    <x:row r="51" ht="55.5" customHeight="1">
      <x:c r="A51" s="20" t="s">
        <x:v>31</x:v>
      </x:c>
      <x:c r="B51" s="47" t="str">
        <x:v>Nos testes maiores, Quick Sort apresentou o melhor tempo medio, seguido de perto pelo Merge Sort. O pior desempenho foi do Selection Sort, principalmente em 100.000 elementos.</x:v>
      </x:c>
      <x:c r="C51" s="47"/>
      <x:c r="D51" s="47"/>
      <x:c r="E51" s="47"/>
      <x:c r="F51" s="47"/>
      <x:c r="G51" s="47"/>
      <x:c r="H51" s="47"/>
      <x:c r="I51" s="47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K55" s="44" t="str">
        <x:v>Tamanho</x:v>
      </x:c>
      <x:c r="L55" s="44" t="str">
        <x:v>Selection Sort</x:v>
      </x:c>
      <x:c r="M55" s="44" t="str">
        <x:v>Merge Sort</x:v>
      </x:c>
      <x:c r="N55" s="44" t="str">
        <x:v>Quick Sort</x:v>
      </x:c>
    </x:row>
    <x:row r="56">
      <x:c r="K56" s="45" t="n">
        <x:v>1000</x:v>
      </x:c>
      <x:c r="L56" s="46" t="n">
        <x:f>G19</x:f>
        <x:v>0.002480666666666667</x:v>
      </x:c>
      <x:c r="M56" s="46" t="n">
        <x:f>G22</x:f>
        <x:v>0.00033800000000000003</x:v>
      </x:c>
      <x:c r="N56" s="46" t="n">
        <x:f>G25</x:f>
        <x:v>0.0009436666666666668</x:v>
      </x:c>
    </x:row>
    <x:row r="57">
      <x:c r="K57" s="45" t="n">
        <x:v>10000</x:v>
      </x:c>
      <x:c r="L57" s="46" t="n">
        <x:f>G20</x:f>
        <x:v>0.08143533333333333</x:v>
      </x:c>
      <x:c r="M57" s="46" t="n">
        <x:f>G23</x:f>
        <x:v>0.0015366666666666664</x:v>
      </x:c>
      <x:c r="N57" s="46" t="n">
        <x:f>G26</x:f>
        <x:v>0.0022503333333333334</x:v>
      </x:c>
    </x:row>
    <x:row r="58">
      <x:c r="K58" s="45" t="n">
        <x:v>100000</x:v>
      </x:c>
      <x:c r="L58" s="46" t="n">
        <x:f>G21</x:f>
        <x:v>6.765005666666667</x:v>
      </x:c>
      <x:c r="M58" s="46" t="n">
        <x:f>G24</x:f>
        <x:v>0.01866</x:v>
      </x:c>
      <x:c r="N58" s="46" t="n">
        <x:f>G27</x:f>
        <x:v>0.015270666666666667</x:v>
      </x:c>
    </x:row>
  </x:sheetData>
  <x:mergeCells>
    <x:mergeCell ref="A1:I1"/>
    <x:mergeCell ref="A2:I2"/>
    <x:mergeCell ref="A3:I3"/>
    <x:mergeCell ref="A4:I5"/>
    <x:mergeCell ref="B51:I51"/>
    <x:mergeCell ref="A17:I17"/>
    <x:mergeCell ref="A31:I31"/>
    <x:mergeCell ref="B14:I14"/>
    <x:mergeCell ref="B15:I15"/>
    <x:mergeCell ref="A29:I29"/>
    <x:mergeCell ref="B10:I10"/>
    <x:mergeCell ref="B11:I11"/>
    <x:mergeCell ref="B12:I12"/>
    <x:mergeCell ref="B13:I13"/>
    <x:mergeCell ref="A7:I7"/>
    <x:mergeCell ref="B8:I8"/>
    <x:mergeCell ref="B9:I9"/>
    <x:mergeCell ref="A32:I32"/>
    <x:mergeCell ref="A47:I47"/>
    <x:mergeCell ref="B48:I48"/>
    <x:mergeCell ref="B49:I49"/>
    <x:mergeCell ref="B50:I50"/>
  </x:mergeCells>
  <x:dataValidations count="4">
    <x:dataValidation type="list" sqref="A19:A27">
      <x:formula1>"Bubble Sort,Insertion Sort,Selection Sort,Merge Sort,Quick Sort,Heap Sort"</x:formula1>
    </x:dataValidation>
    <x:dataValidation type="list" sqref="B19:B27">
      <x:formula1>"O(n log n),O(n²),"</x:formula1>
    </x:dataValidation>
    <x:dataValidation showDropDown="1" sqref="I19:I27"/>
    <x:dataValidation sqref="D19:H27"/>
  </x:dataValidations>
  <x:pageMargins left="0.7" right="0.7" top="0.75" bottom="0.75" header="0.3" footer="0.3"/>
  <x:drawing xmlns:r="http://schemas.openxmlformats.org/officeDocument/2006/relationships" r:id="Re75cc6205f8944a0"/>
  <x:tableParts count="1">
    <x:tablePart xmlns:r="http://schemas.openxmlformats.org/officeDocument/2006/relationships" r:id="R2d294c76d71f415d"/>
  </x:tableParts>
</x:worksheet>
</file>